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llianceautomation.sharepoint.com/sites/ApplicationsEngineering/Shared Documents/Sales Tools/RDS/Costing/"/>
    </mc:Choice>
  </mc:AlternateContent>
  <xr:revisionPtr revIDLastSave="51" documentId="8_{BBAC5487-395D-4F57-9FC7-BA2FC6CED9D5}" xr6:coauthVersionLast="47" xr6:coauthVersionMax="47" xr10:uidLastSave="{8626B373-C0F0-4A34-8E88-E870E276CC64}"/>
  <bookViews>
    <workbookView xWindow="-98" yWindow="-98" windowWidth="21795" windowHeight="13875" xr2:uid="{C6A33A0B-0B19-44DD-AD66-14F64874D83C}"/>
  </bookViews>
  <sheets>
    <sheet name="Sheet1" sheetId="1" r:id="rId1"/>
    <sheet name="Sheet2" sheetId="2" state="hidden" r:id="rId2"/>
    <sheet name="Sheet3" sheetId="3" state="hidden" r:id="rId3"/>
  </sheets>
  <definedNames>
    <definedName name="Picture">OFFSET(Sheet2!$A$1,MATCH(Sheet1!$B$3,Sheet2!$A$2:$A$100,0),1)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3" l="1"/>
  <c r="C9" i="3"/>
  <c r="C8" i="3"/>
  <c r="C7" i="3"/>
  <c r="C6" i="3"/>
  <c r="C13" i="3"/>
  <c r="C12" i="3"/>
  <c r="C11" i="3"/>
  <c r="C4" i="3" l="1"/>
  <c r="C5" i="3"/>
  <c r="A4" i="3"/>
  <c r="A5" i="3"/>
  <c r="C3" i="3"/>
  <c r="A3" i="3"/>
  <c r="B13" i="1"/>
  <c r="C6" i="1"/>
  <c r="C5" i="1"/>
  <c r="C4" i="1"/>
  <c r="B14" i="1" l="1"/>
  <c r="B15" i="1" s="1"/>
</calcChain>
</file>

<file path=xl/sharedStrings.xml><?xml version="1.0" encoding="utf-8"?>
<sst xmlns="http://schemas.openxmlformats.org/spreadsheetml/2006/main" count="37" uniqueCount="36">
  <si>
    <t>Description</t>
  </si>
  <si>
    <t>System Options</t>
  </si>
  <si>
    <t>Infeed Orientation</t>
  </si>
  <si>
    <t>Centered</t>
  </si>
  <si>
    <t>Price Per Qty</t>
  </si>
  <si>
    <t>Spare Parts Package</t>
  </si>
  <si>
    <t>Spare Saw Blades</t>
  </si>
  <si>
    <t>Spare Foam Pads</t>
  </si>
  <si>
    <t>Base Price</t>
  </si>
  <si>
    <t>Options Price</t>
  </si>
  <si>
    <t>Total</t>
  </si>
  <si>
    <t>Type</t>
  </si>
  <si>
    <t>Drawing</t>
  </si>
  <si>
    <t>Left</t>
  </si>
  <si>
    <t>Right</t>
  </si>
  <si>
    <t>Line Item</t>
  </si>
  <si>
    <t>Price</t>
  </si>
  <si>
    <t>Quantity</t>
  </si>
  <si>
    <t>Base System</t>
  </si>
  <si>
    <t>Taller Guarding</t>
  </si>
  <si>
    <t>Taller Guarding and Netting</t>
  </si>
  <si>
    <t>Front Funneling USL/Badger</t>
  </si>
  <si>
    <t>Side Funneling USL</t>
  </si>
  <si>
    <t>Side Funneling Badger</t>
  </si>
  <si>
    <t>Canada Transformer</t>
  </si>
  <si>
    <t>Step Up Transformer</t>
  </si>
  <si>
    <t>Spanish Training</t>
  </si>
  <si>
    <t>Guarding</t>
  </si>
  <si>
    <t>Transformer</t>
  </si>
  <si>
    <t>Standard</t>
  </si>
  <si>
    <t>Training</t>
  </si>
  <si>
    <t>English</t>
  </si>
  <si>
    <t>Feeding USL/Badger</t>
  </si>
  <si>
    <t>No</t>
  </si>
  <si>
    <t>None</t>
  </si>
  <si>
    <t>Margin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</si>
</sst>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&quot;$&quot;* #,##0_);_(&quot;$&quot;* \(#,##0\);_(&quot;$&quot;* &quot;-&quot;??_);_(@_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 wrapText="1"/>
    </xf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/>
    <xf numFmtId="0" fontId="1" fillId="0" borderId="0" xfId="0" applyFont="1" applyAlignment="1">
      <alignment horizontal="center"/>
    </xf>
    <xf numFmtId="165" fontId="0" fillId="0" borderId="0" xfId="0" applyNumberFormat="1"/>
    <xf numFmtId="0" fontId="3" fillId="0" borderId="0" xfId="0" applyFont="1" applyAlignment="1">
      <alignment horizontal="center" vertical="center"/>
    </xf>
    <xf numFmtId="0" fontId="0" fillId="0" borderId="9" xfId="0" applyBorder="1"/>
    <xf numFmtId="0" fontId="1" fillId="0" borderId="9" xfId="0" applyFon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4" fontId="0" fillId="0" borderId="9" xfId="0" applyNumberFormat="1" applyBorder="1"/>
    <xf numFmtId="0" fontId="0" fillId="0" borderId="11" xfId="0" applyBorder="1"/>
    <xf numFmtId="164" fontId="0" fillId="0" borderId="11" xfId="0" applyNumberFormat="1" applyBorder="1"/>
    <xf numFmtId="0" fontId="1" fillId="0" borderId="10" xfId="0" applyFont="1" applyBorder="1" applyAlignment="1">
      <alignment horizontal="right"/>
    </xf>
    <xf numFmtId="164" fontId="1" fillId="0" borderId="10" xfId="0" applyNumberFormat="1" applyFont="1" applyBorder="1"/>
    <xf numFmtId="0" fontId="0" fillId="2" borderId="9" xfId="0" applyFill="1" applyBorder="1" applyAlignment="1" applyProtection="1">
      <alignment horizontal="center"/>
      <protection locked="0"/>
    </xf>
    <xf numFmtId="0" fontId="1" fillId="0" borderId="0" xfId="0" applyFont="1" applyAlignment="1">
      <alignment vertical="center"/>
    </xf>
    <xf numFmtId="165" fontId="0" fillId="0" borderId="0" xfId="0" applyNumberFormat="1" applyAlignment="1">
      <alignment horizontal="center"/>
    </xf>
    <xf numFmtId="0" fontId="1" fillId="0" borderId="0" xfId="0" applyFont="1" applyAlignment="1">
      <alignment horizontal="right"/>
    </xf>
    <xf numFmtId="164" fontId="0" fillId="0" borderId="0" xfId="0" applyNumberFormat="1"/>
    <xf numFmtId="164" fontId="1" fillId="0" borderId="0" xfId="0" applyNumberFormat="1" applyFont="1"/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left" vertical="center" wrapText="1" indent="1"/>
    </xf>
    <xf numFmtId="165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indent="1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165" fontId="4" fillId="0" borderId="0" xfId="0" applyNumberFormat="1" applyFont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8" fillId="0" borderId="9" xfId="0" applyFont="1" applyBorder="1"/>
    <xf numFmtId="10" fontId="8" fillId="0" borderId="9" xfId="1" applyNumberFormat="1" applyFont="1" applyBorder="1" applyAlignment="1" applyProtection="1">
      <alignment horizontal="center"/>
      <protection locked="0"/>
    </xf>
    <xf numFmtId="9" fontId="0" fillId="0" borderId="0" xfId="1" applyFont="1" applyProtection="1">
      <protection locked="0"/>
    </xf>
    <xf numFmtId="0" fontId="1" fillId="0" borderId="9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100013</xdr:rowOff>
        </xdr:from>
        <xdr:to>
          <xdr:col>2</xdr:col>
          <xdr:colOff>733425</xdr:colOff>
          <xdr:row>16</xdr:row>
          <xdr:rowOff>180975</xdr:rowOff>
        </xdr:to>
        <xdr:sp macro="" textlink="">
          <xdr:nvSpPr>
            <xdr:cNvPr id="4640" name="Button 1568" hidden="1">
              <a:extLst>
                <a:ext uri="{63B3BB69-23CF-44E3-9099-C40C66FF867C}">
                  <a14:compatExt spid="_x0000_s4640"/>
                </a:ext>
                <a:ext uri="{FF2B5EF4-FFF2-40B4-BE49-F238E27FC236}">
                  <a16:creationId xmlns:a16="http://schemas.microsoft.com/office/drawing/2014/main" id="{00000000-0008-0000-0000-000020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 Margin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3</xdr:row>
          <xdr:rowOff>171450</xdr:rowOff>
        </xdr:from>
        <xdr:to>
          <xdr:col>14</xdr:col>
          <xdr:colOff>22225</xdr:colOff>
          <xdr:row>31</xdr:row>
          <xdr:rowOff>0</xdr:rowOff>
        </xdr:to>
        <xdr:pic>
          <xdr:nvPicPr>
            <xdr:cNvPr id="67162" name="Picture 1682">
              <a:extLst>
                <a:ext uri="{FF2B5EF4-FFF2-40B4-BE49-F238E27FC236}">
                  <a16:creationId xmlns:a16="http://schemas.microsoft.com/office/drawing/2014/main" id="{00000000-0008-0000-0000-00005A0601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ture" spid="_x0000_s696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6619875" y="752475"/>
              <a:ext cx="5695950" cy="51816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23</xdr:row>
          <xdr:rowOff>28575</xdr:rowOff>
        </xdr:from>
        <xdr:to>
          <xdr:col>2</xdr:col>
          <xdr:colOff>747713</xdr:colOff>
          <xdr:row>26</xdr:row>
          <xdr:rowOff>176213</xdr:rowOff>
        </xdr:to>
        <xdr:sp macro="" textlink="">
          <xdr:nvSpPr>
            <xdr:cNvPr id="67494" name="Button 36774" hidden="1">
              <a:extLst>
                <a:ext uri="{63B3BB69-23CF-44E3-9099-C40C66FF867C}">
                  <a14:compatExt spid="_x0000_s67494"/>
                </a:ext>
                <a:ext uri="{FF2B5EF4-FFF2-40B4-BE49-F238E27FC236}">
                  <a16:creationId xmlns:a16="http://schemas.microsoft.com/office/drawing/2014/main" id="{00000000-0008-0000-0000-0000A60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19</xdr:row>
          <xdr:rowOff>23813</xdr:rowOff>
        </xdr:from>
        <xdr:to>
          <xdr:col>2</xdr:col>
          <xdr:colOff>747713</xdr:colOff>
          <xdr:row>22</xdr:row>
          <xdr:rowOff>161925</xdr:rowOff>
        </xdr:to>
        <xdr:sp macro="" textlink="">
          <xdr:nvSpPr>
            <xdr:cNvPr id="67495" name="Button 36775" hidden="1">
              <a:extLst>
                <a:ext uri="{63B3BB69-23CF-44E3-9099-C40C66FF867C}">
                  <a14:compatExt spid="_x0000_s67495"/>
                </a:ext>
                <a:ext uri="{FF2B5EF4-FFF2-40B4-BE49-F238E27FC236}">
                  <a16:creationId xmlns:a16="http://schemas.microsoft.com/office/drawing/2014/main" id="{00000000-0008-0000-0000-0000A70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Quote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17</xdr:row>
          <xdr:rowOff>47625</xdr:rowOff>
        </xdr:from>
        <xdr:to>
          <xdr:col>2</xdr:col>
          <xdr:colOff>747713</xdr:colOff>
          <xdr:row>18</xdr:row>
          <xdr:rowOff>138113</xdr:rowOff>
        </xdr:to>
        <xdr:sp macro="" textlink="">
          <xdr:nvSpPr>
            <xdr:cNvPr id="67497" name="Button 36777" hidden="1">
              <a:extLst>
                <a:ext uri="{63B3BB69-23CF-44E3-9099-C40C66FF867C}">
                  <a14:compatExt spid="_x0000_s67497"/>
                </a:ext>
                <a:ext uri="{FF2B5EF4-FFF2-40B4-BE49-F238E27FC236}">
                  <a16:creationId xmlns:a16="http://schemas.microsoft.com/office/drawing/2014/main" id="{00000000-0008-0000-0000-0000A907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Margin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790575</xdr:colOff>
          <xdr:row>3</xdr:row>
          <xdr:rowOff>171450</xdr:rowOff>
        </xdr:from>
        <xdr:to>
          <xdr:col>14</xdr:col>
          <xdr:colOff>23813</xdr:colOff>
          <xdr:row>31</xdr:row>
          <xdr:rowOff>0</xdr:rowOff>
        </xdr:to>
        <xdr:pic>
          <xdr:nvPicPr>
            <xdr:cNvPr id="67538" name="Picture 1682">
              <a:extLst>
                <a:ext uri="{FF2B5EF4-FFF2-40B4-BE49-F238E27FC236}">
                  <a16:creationId xmlns:a16="http://schemas.microsoft.com/office/drawing/2014/main" id="{E2583E76-BA9B-48D7-B8AD-AB99B9BA23C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Picture" spid="_x0000_s6963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7143750" y="719138"/>
              <a:ext cx="6119813" cy="49053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333375</xdr:colOff>
      <xdr:row>1</xdr:row>
      <xdr:rowOff>314324</xdr:rowOff>
    </xdr:from>
    <xdr:to>
      <xdr:col>1</xdr:col>
      <xdr:colOff>5505450</xdr:colOff>
      <xdr:row>1</xdr:row>
      <xdr:rowOff>4857445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7A103E95-B3C2-D330-D70E-61F9FA4A6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2975" y="504824"/>
          <a:ext cx="5172075" cy="4543121"/>
        </a:xfrm>
        <a:prstGeom prst="rect">
          <a:avLst/>
        </a:prstGeom>
      </xdr:spPr>
    </xdr:pic>
    <xdr:clientData/>
  </xdr:twoCellAnchor>
  <xdr:twoCellAnchor editAs="oneCell">
    <xdr:from>
      <xdr:col>1</xdr:col>
      <xdr:colOff>1104900</xdr:colOff>
      <xdr:row>2</xdr:row>
      <xdr:rowOff>65787</xdr:rowOff>
    </xdr:from>
    <xdr:to>
      <xdr:col>1</xdr:col>
      <xdr:colOff>4848225</xdr:colOff>
      <xdr:row>2</xdr:row>
      <xdr:rowOff>5065658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74E86DE4-3926-1B1A-FFAB-2E5608855B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14500" y="5447412"/>
          <a:ext cx="3743325" cy="4999871"/>
        </a:xfrm>
        <a:prstGeom prst="rect">
          <a:avLst/>
        </a:prstGeom>
      </xdr:spPr>
    </xdr:pic>
    <xdr:clientData/>
  </xdr:twoCellAnchor>
  <xdr:twoCellAnchor editAs="oneCell">
    <xdr:from>
      <xdr:col>1</xdr:col>
      <xdr:colOff>171450</xdr:colOff>
      <xdr:row>3</xdr:row>
      <xdr:rowOff>285750</xdr:rowOff>
    </xdr:from>
    <xdr:to>
      <xdr:col>1</xdr:col>
      <xdr:colOff>5752213</xdr:colOff>
      <xdr:row>3</xdr:row>
      <xdr:rowOff>4913998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640B6AF2-BA77-3345-3AB7-20FCC4B34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1050" y="10858500"/>
          <a:ext cx="5580763" cy="46282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7E4F3-DEA3-4E83-BE90-DC964768D84C}">
  <sheetPr codeName="Sheet1"/>
  <dimension ref="A1:T59"/>
  <sheetViews>
    <sheetView showGridLines="0" tabSelected="1" zoomScale="130" zoomScaleNormal="130" workbookViewId="0">
      <selection activeCell="B5" sqref="B5"/>
    </sheetView>
  </sheetViews>
  <sheetFormatPr defaultRowHeight="14.25" x14ac:dyDescent="0.45"/>
  <cols>
    <col min="1" max="1" width="18.6640625" bestFit="1" customWidth="1"/>
    <col min="2" max="2" width="16.53125" bestFit="1" customWidth="1"/>
    <col min="3" max="3" width="18" customWidth="1"/>
    <col min="4" max="4" width="17.86328125" bestFit="1" customWidth="1"/>
    <col min="5" max="5" width="17.86328125" customWidth="1"/>
    <col min="6" max="7" width="16.46484375" bestFit="1" customWidth="1"/>
  </cols>
  <sheetData>
    <row r="1" spans="1:20" x14ac:dyDescent="0.45">
      <c r="A1" s="36" t="s">
        <v>0</v>
      </c>
      <c r="B1" s="36" t="s">
        <v>1</v>
      </c>
      <c r="C1" s="8"/>
      <c r="D1" s="7"/>
      <c r="R1" s="20"/>
      <c r="S1" s="20"/>
      <c r="T1" s="8"/>
    </row>
    <row r="2" spans="1:20" x14ac:dyDescent="0.45">
      <c r="A2" s="36"/>
      <c r="B2" s="36"/>
      <c r="R2" s="20"/>
      <c r="S2" s="20"/>
    </row>
    <row r="3" spans="1:20" ht="14.65" thickBot="1" x14ac:dyDescent="0.5">
      <c r="A3" s="11" t="s">
        <v>2</v>
      </c>
      <c r="B3" s="19" t="s">
        <v>3</v>
      </c>
      <c r="C3" s="12" t="s">
        <v>4</v>
      </c>
      <c r="D3" s="1"/>
      <c r="S3" s="1"/>
      <c r="T3" s="8"/>
    </row>
    <row r="4" spans="1:20" x14ac:dyDescent="0.45">
      <c r="A4" s="11" t="s">
        <v>5</v>
      </c>
      <c r="B4" s="19">
        <v>1</v>
      </c>
      <c r="C4" s="13">
        <f>Sheet3!B3</f>
        <v>10069</v>
      </c>
      <c r="F4" s="37"/>
      <c r="G4" s="38"/>
      <c r="H4" s="38"/>
      <c r="I4" s="38"/>
      <c r="J4" s="38"/>
      <c r="K4" s="38"/>
      <c r="L4" s="38"/>
      <c r="M4" s="38"/>
      <c r="N4" s="38"/>
      <c r="O4" s="39"/>
      <c r="S4" s="1"/>
      <c r="T4" s="21"/>
    </row>
    <row r="5" spans="1:20" x14ac:dyDescent="0.45">
      <c r="A5" s="11" t="s">
        <v>6</v>
      </c>
      <c r="B5" s="19">
        <v>20</v>
      </c>
      <c r="C5" s="13">
        <f>Sheet3!B4*10</f>
        <v>1550</v>
      </c>
      <c r="F5" s="40"/>
      <c r="G5" s="41"/>
      <c r="H5" s="41"/>
      <c r="I5" s="41"/>
      <c r="J5" s="41"/>
      <c r="K5" s="41"/>
      <c r="L5" s="41"/>
      <c r="M5" s="41"/>
      <c r="N5" s="41"/>
      <c r="O5" s="42"/>
      <c r="S5" s="1"/>
      <c r="T5" s="21"/>
    </row>
    <row r="6" spans="1:20" x14ac:dyDescent="0.45">
      <c r="A6" s="11" t="s">
        <v>7</v>
      </c>
      <c r="B6" s="19">
        <v>0</v>
      </c>
      <c r="C6" s="13">
        <f>Sheet3!B5*10</f>
        <v>2240</v>
      </c>
      <c r="F6" s="40"/>
      <c r="G6" s="41"/>
      <c r="H6" s="41"/>
      <c r="I6" s="41"/>
      <c r="J6" s="41"/>
      <c r="K6" s="41"/>
      <c r="L6" s="41"/>
      <c r="M6" s="41"/>
      <c r="N6" s="41"/>
      <c r="O6" s="42"/>
      <c r="S6" s="1"/>
      <c r="T6" s="21"/>
    </row>
    <row r="7" spans="1:20" x14ac:dyDescent="0.45">
      <c r="A7" s="11" t="s">
        <v>27</v>
      </c>
      <c r="B7" s="19" t="s">
        <v>29</v>
      </c>
      <c r="C7" s="21"/>
      <c r="F7" s="40"/>
      <c r="G7" s="41"/>
      <c r="H7" s="41"/>
      <c r="I7" s="41"/>
      <c r="J7" s="41"/>
      <c r="K7" s="41"/>
      <c r="L7" s="41"/>
      <c r="M7" s="41"/>
      <c r="N7" s="41"/>
      <c r="O7" s="42"/>
      <c r="R7" s="6"/>
      <c r="S7" s="5"/>
    </row>
    <row r="8" spans="1:20" x14ac:dyDescent="0.45">
      <c r="A8" s="11" t="s">
        <v>32</v>
      </c>
      <c r="B8" s="19" t="s">
        <v>33</v>
      </c>
      <c r="C8" s="21"/>
      <c r="F8" s="40"/>
      <c r="G8" s="41"/>
      <c r="H8" s="41"/>
      <c r="I8" s="41"/>
      <c r="J8" s="41"/>
      <c r="K8" s="41"/>
      <c r="L8" s="41"/>
      <c r="M8" s="41"/>
      <c r="N8" s="41"/>
      <c r="O8" s="42"/>
      <c r="S8" s="23"/>
    </row>
    <row r="9" spans="1:20" x14ac:dyDescent="0.45">
      <c r="A9" s="11" t="s">
        <v>28</v>
      </c>
      <c r="B9" s="19" t="s">
        <v>34</v>
      </c>
      <c r="C9" s="21"/>
      <c r="F9" s="40"/>
      <c r="G9" s="41"/>
      <c r="H9" s="41"/>
      <c r="I9" s="41"/>
      <c r="J9" s="41"/>
      <c r="K9" s="41"/>
      <c r="L9" s="41"/>
      <c r="M9" s="41"/>
      <c r="N9" s="41"/>
      <c r="O9" s="42"/>
      <c r="S9" s="23"/>
    </row>
    <row r="10" spans="1:20" x14ac:dyDescent="0.45">
      <c r="A10" s="11" t="s">
        <v>30</v>
      </c>
      <c r="B10" s="19" t="s">
        <v>31</v>
      </c>
      <c r="C10" s="21"/>
      <c r="F10" s="40"/>
      <c r="G10" s="41"/>
      <c r="H10" s="41"/>
      <c r="I10" s="41"/>
      <c r="J10" s="41"/>
      <c r="K10" s="41"/>
      <c r="L10" s="41"/>
      <c r="M10" s="41"/>
      <c r="N10" s="41"/>
      <c r="O10" s="42"/>
      <c r="R10" s="22"/>
      <c r="S10" s="24"/>
    </row>
    <row r="11" spans="1:20" x14ac:dyDescent="0.45">
      <c r="B11" s="32"/>
      <c r="C11" s="21"/>
      <c r="F11" s="40"/>
      <c r="G11" s="41"/>
      <c r="H11" s="41"/>
      <c r="I11" s="41"/>
      <c r="J11" s="41"/>
      <c r="K11" s="41"/>
      <c r="L11" s="41"/>
      <c r="M11" s="41"/>
      <c r="N11" s="41"/>
      <c r="O11" s="42"/>
    </row>
    <row r="12" spans="1:20" x14ac:dyDescent="0.45">
      <c r="A12" s="33" t="s">
        <v>35</v>
      </c>
      <c r="B12" s="34">
        <v>0.24</v>
      </c>
      <c r="F12" s="40"/>
      <c r="G12" s="41"/>
      <c r="H12" s="41"/>
      <c r="I12" s="41"/>
      <c r="J12" s="41"/>
      <c r="K12" s="41"/>
      <c r="L12" s="41"/>
      <c r="M12" s="41"/>
      <c r="N12" s="41"/>
      <c r="O12" s="42"/>
    </row>
    <row r="13" spans="1:20" x14ac:dyDescent="0.45">
      <c r="A13" s="11" t="s">
        <v>8</v>
      </c>
      <c r="B13" s="14">
        <f>Sheet3!$B$2</f>
        <v>414320.82</v>
      </c>
      <c r="F13" s="40"/>
      <c r="G13" s="41"/>
      <c r="H13" s="41"/>
      <c r="I13" s="41"/>
      <c r="J13" s="41"/>
      <c r="K13" s="41"/>
      <c r="L13" s="41"/>
      <c r="M13" s="41"/>
      <c r="N13" s="41"/>
      <c r="O13" s="42"/>
    </row>
    <row r="14" spans="1:20" ht="14.65" thickBot="1" x14ac:dyDescent="0.5">
      <c r="A14" s="15" t="s">
        <v>9</v>
      </c>
      <c r="B14" s="16">
        <f>SUMPRODUCT(Sheet3!$B$3:$B$13,Sheet3!$C$3:$C$13)</f>
        <v>13169</v>
      </c>
      <c r="F14" s="40"/>
      <c r="G14" s="41"/>
      <c r="H14" s="41"/>
      <c r="I14" s="41"/>
      <c r="J14" s="41"/>
      <c r="K14" s="41"/>
      <c r="L14" s="41"/>
      <c r="M14" s="41"/>
      <c r="N14" s="41"/>
      <c r="O14" s="42"/>
    </row>
    <row r="15" spans="1:20" ht="14.65" thickTop="1" x14ac:dyDescent="0.45">
      <c r="A15" s="17" t="s">
        <v>10</v>
      </c>
      <c r="B15" s="18">
        <f>SUM(B13:B14)</f>
        <v>427489.82</v>
      </c>
      <c r="F15" s="40"/>
      <c r="G15" s="41"/>
      <c r="H15" s="41"/>
      <c r="I15" s="41"/>
      <c r="J15" s="41"/>
      <c r="K15" s="41"/>
      <c r="L15" s="41"/>
      <c r="M15" s="41"/>
      <c r="N15" s="41"/>
      <c r="O15" s="42"/>
    </row>
    <row r="16" spans="1:20" x14ac:dyDescent="0.45">
      <c r="F16" s="40"/>
      <c r="G16" s="41"/>
      <c r="H16" s="41"/>
      <c r="I16" s="41"/>
      <c r="J16" s="41"/>
      <c r="K16" s="41"/>
      <c r="L16" s="41"/>
      <c r="M16" s="41"/>
      <c r="N16" s="41"/>
      <c r="O16" s="42"/>
    </row>
    <row r="17" spans="2:15" x14ac:dyDescent="0.45">
      <c r="B17" s="35">
        <v>0.24</v>
      </c>
      <c r="F17" s="40"/>
      <c r="G17" s="41"/>
      <c r="H17" s="41"/>
      <c r="I17" s="41"/>
      <c r="J17" s="41"/>
      <c r="K17" s="41"/>
      <c r="L17" s="41"/>
      <c r="M17" s="41"/>
      <c r="N17" s="41"/>
      <c r="O17" s="42"/>
    </row>
    <row r="18" spans="2:15" x14ac:dyDescent="0.45">
      <c r="F18" s="40"/>
      <c r="G18" s="41"/>
      <c r="H18" s="41"/>
      <c r="I18" s="41"/>
      <c r="J18" s="41"/>
      <c r="K18" s="41"/>
      <c r="L18" s="41"/>
      <c r="M18" s="41"/>
      <c r="N18" s="41"/>
      <c r="O18" s="42"/>
    </row>
    <row r="19" spans="2:15" x14ac:dyDescent="0.45">
      <c r="F19" s="40"/>
      <c r="G19" s="41"/>
      <c r="H19" s="41"/>
      <c r="I19" s="41"/>
      <c r="J19" s="41"/>
      <c r="K19" s="41"/>
      <c r="L19" s="41"/>
      <c r="M19" s="41"/>
      <c r="N19" s="41"/>
      <c r="O19" s="42"/>
    </row>
    <row r="20" spans="2:15" x14ac:dyDescent="0.45">
      <c r="F20" s="40"/>
      <c r="G20" s="41"/>
      <c r="H20" s="41"/>
      <c r="I20" s="41"/>
      <c r="J20" s="41"/>
      <c r="K20" s="41"/>
      <c r="L20" s="41"/>
      <c r="M20" s="41"/>
      <c r="N20" s="41"/>
      <c r="O20" s="42"/>
    </row>
    <row r="21" spans="2:15" x14ac:dyDescent="0.45">
      <c r="F21" s="40"/>
      <c r="G21" s="41"/>
      <c r="H21" s="41"/>
      <c r="I21" s="41"/>
      <c r="J21" s="41"/>
      <c r="K21" s="41"/>
      <c r="L21" s="41"/>
      <c r="M21" s="41"/>
      <c r="N21" s="41"/>
      <c r="O21" s="42"/>
    </row>
    <row r="22" spans="2:15" x14ac:dyDescent="0.45">
      <c r="F22" s="40"/>
      <c r="G22" s="41"/>
      <c r="H22" s="41"/>
      <c r="I22" s="41"/>
      <c r="J22" s="41"/>
      <c r="K22" s="41"/>
      <c r="L22" s="41"/>
      <c r="M22" s="41"/>
      <c r="N22" s="41"/>
      <c r="O22" s="42"/>
    </row>
    <row r="23" spans="2:15" x14ac:dyDescent="0.45">
      <c r="F23" s="40"/>
      <c r="G23" s="41"/>
      <c r="H23" s="41"/>
      <c r="I23" s="41"/>
      <c r="J23" s="41"/>
      <c r="K23" s="41"/>
      <c r="L23" s="41"/>
      <c r="M23" s="41"/>
      <c r="N23" s="41"/>
      <c r="O23" s="42"/>
    </row>
    <row r="24" spans="2:15" x14ac:dyDescent="0.45">
      <c r="F24" s="40"/>
      <c r="G24" s="41"/>
      <c r="H24" s="41"/>
      <c r="I24" s="41"/>
      <c r="J24" s="41"/>
      <c r="K24" s="41"/>
      <c r="L24" s="41"/>
      <c r="M24" s="41"/>
      <c r="N24" s="41"/>
      <c r="O24" s="42"/>
    </row>
    <row r="25" spans="2:15" x14ac:dyDescent="0.45">
      <c r="F25" s="40"/>
      <c r="G25" s="41"/>
      <c r="H25" s="41"/>
      <c r="I25" s="41"/>
      <c r="J25" s="41"/>
      <c r="K25" s="41"/>
      <c r="L25" s="41"/>
      <c r="M25" s="41"/>
      <c r="N25" s="41"/>
      <c r="O25" s="42"/>
    </row>
    <row r="26" spans="2:15" x14ac:dyDescent="0.45">
      <c r="F26" s="40"/>
      <c r="G26" s="41"/>
      <c r="H26" s="41"/>
      <c r="I26" s="41"/>
      <c r="J26" s="41"/>
      <c r="K26" s="41"/>
      <c r="L26" s="41"/>
      <c r="M26" s="41"/>
      <c r="N26" s="41"/>
      <c r="O26" s="42"/>
    </row>
    <row r="27" spans="2:15" x14ac:dyDescent="0.45">
      <c r="F27" s="40"/>
      <c r="G27" s="41"/>
      <c r="H27" s="41"/>
      <c r="I27" s="41"/>
      <c r="J27" s="41"/>
      <c r="K27" s="41"/>
      <c r="L27" s="41"/>
      <c r="M27" s="41"/>
      <c r="N27" s="41"/>
      <c r="O27" s="42"/>
    </row>
    <row r="28" spans="2:15" x14ac:dyDescent="0.45">
      <c r="F28" s="40"/>
      <c r="G28" s="41"/>
      <c r="H28" s="41"/>
      <c r="I28" s="41"/>
      <c r="J28" s="41"/>
      <c r="K28" s="41"/>
      <c r="L28" s="41"/>
      <c r="M28" s="41"/>
      <c r="N28" s="41"/>
      <c r="O28" s="42"/>
    </row>
    <row r="29" spans="2:15" x14ac:dyDescent="0.45">
      <c r="F29" s="40"/>
      <c r="G29" s="41"/>
      <c r="H29" s="41"/>
      <c r="I29" s="41"/>
      <c r="J29" s="41"/>
      <c r="K29" s="41"/>
      <c r="L29" s="41"/>
      <c r="M29" s="41"/>
      <c r="N29" s="41"/>
      <c r="O29" s="42"/>
    </row>
    <row r="30" spans="2:15" x14ac:dyDescent="0.45">
      <c r="F30" s="40"/>
      <c r="G30" s="41"/>
      <c r="H30" s="41"/>
      <c r="I30" s="41"/>
      <c r="J30" s="41"/>
      <c r="K30" s="41"/>
      <c r="L30" s="41"/>
      <c r="M30" s="41"/>
      <c r="N30" s="41"/>
      <c r="O30" s="42"/>
    </row>
    <row r="31" spans="2:15" x14ac:dyDescent="0.45">
      <c r="F31" s="40"/>
      <c r="G31" s="41"/>
      <c r="H31" s="41"/>
      <c r="I31" s="41"/>
      <c r="J31" s="41"/>
      <c r="K31" s="41"/>
      <c r="L31" s="41"/>
      <c r="M31" s="41"/>
      <c r="N31" s="41"/>
      <c r="O31" s="42"/>
    </row>
    <row r="32" spans="2:15" ht="14.65" thickBot="1" x14ac:dyDescent="0.5">
      <c r="F32" s="43"/>
      <c r="G32" s="44"/>
      <c r="H32" s="44"/>
      <c r="I32" s="44"/>
      <c r="J32" s="44"/>
      <c r="K32" s="44"/>
      <c r="L32" s="44"/>
      <c r="M32" s="44"/>
      <c r="N32" s="44"/>
      <c r="O32" s="45"/>
    </row>
    <row r="59" ht="15.75" customHeight="1" x14ac:dyDescent="0.45"/>
  </sheetData>
  <sheetProtection algorithmName="SHA-512" hashValue="R0HqQWh4gy02GSXpWCPWlnLUjGb0pwyp8O+XsE42kz+Qki42VSz5SI31xYo2oxbM3/O62sVANq/YkAxMeebaqA==" saltValue="LM0ZoctUjxdUgu2u+8cNfw==" spinCount="100000" sheet="1" selectLockedCells="1"/>
  <mergeCells count="3">
    <mergeCell ref="A1:A2"/>
    <mergeCell ref="B1:B2"/>
    <mergeCell ref="F4:O32"/>
  </mergeCells>
  <dataValidations count="6">
    <dataValidation type="list" allowBlank="1" showInputMessage="1" showErrorMessage="1" sqref="B4" xr:uid="{FE36DE0D-E57D-4C25-B8E4-93E841166BAA}">
      <formula1>"0,1"</formula1>
    </dataValidation>
    <dataValidation type="list" allowBlank="1" showInputMessage="1" showErrorMessage="1" sqref="B6 B5" xr:uid="{4E86A2B4-79DC-4680-8C74-5C3D4A31A782}">
      <formula1>"0,10,20,30,40,50"</formula1>
    </dataValidation>
    <dataValidation type="list" allowBlank="1" showInputMessage="1" showErrorMessage="1" sqref="B7" xr:uid="{FB51DDC3-58FB-4B20-B9FF-F1D726122B32}">
      <formula1>"Standard, Tall, Tall w/ Netting"</formula1>
    </dataValidation>
    <dataValidation type="list" allowBlank="1" showInputMessage="1" showErrorMessage="1" sqref="B9" xr:uid="{1E138BC4-7F35-4D2C-A032-C517A6EA5708}">
      <formula1>"None, Canada, Step Up"</formula1>
    </dataValidation>
    <dataValidation type="list" allowBlank="1" showInputMessage="1" showErrorMessage="1" sqref="B10" xr:uid="{2738F9A4-8D63-43E9-8ED3-F338F4C66680}">
      <formula1>"English, English &amp; Spanish"</formula1>
    </dataValidation>
    <dataValidation type="list" allowBlank="1" showInputMessage="1" showErrorMessage="1" sqref="B8" xr:uid="{26C0E545-3188-43FF-8A84-D59FB27CA06B}">
      <formula1>"No,Front USL,Front Badger,Side USL, Side Badger"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0" r:id="rId4" name="Button 1568">
              <controlPr defaultSize="0" print="0" autoFill="0" autoPict="0" macro="[0]!MarginChange">
                <anchor moveWithCells="1" sizeWithCells="1">
                  <from>
                    <xdr:col>0</xdr:col>
                    <xdr:colOff>0</xdr:colOff>
                    <xdr:row>15</xdr:row>
                    <xdr:rowOff>100013</xdr:rowOff>
                  </from>
                  <to>
                    <xdr:col>2</xdr:col>
                    <xdr:colOff>733425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94" r:id="rId5" name="Button 36774">
              <controlPr defaultSize="0" print="0" autoFill="0" autoPict="0" macro="[0]!GenerateLayout">
                <anchor moveWithCells="1" sizeWithCells="1">
                  <from>
                    <xdr:col>0</xdr:col>
                    <xdr:colOff>9525</xdr:colOff>
                    <xdr:row>23</xdr:row>
                    <xdr:rowOff>28575</xdr:rowOff>
                  </from>
                  <to>
                    <xdr:col>2</xdr:col>
                    <xdr:colOff>747713</xdr:colOff>
                    <xdr:row>26</xdr:row>
                    <xdr:rowOff>176213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95" r:id="rId6" name="Button 36775">
              <controlPr defaultSize="0" print="0" autoFill="0" autoPict="0" macro="[0]!Generate">
                <anchor moveWithCells="1" sizeWithCells="1">
                  <from>
                    <xdr:col>0</xdr:col>
                    <xdr:colOff>9525</xdr:colOff>
                    <xdr:row>19</xdr:row>
                    <xdr:rowOff>23813</xdr:rowOff>
                  </from>
                  <to>
                    <xdr:col>2</xdr:col>
                    <xdr:colOff>747713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497" r:id="rId7" name="Button 36777">
              <controlPr defaultSize="0" print="0" autoFill="0" autoPict="0" macro="[0]!ResetMargin">
                <anchor moveWithCells="1" sizeWithCells="1">
                  <from>
                    <xdr:col>0</xdr:col>
                    <xdr:colOff>9525</xdr:colOff>
                    <xdr:row>17</xdr:row>
                    <xdr:rowOff>47625</xdr:rowOff>
                  </from>
                  <to>
                    <xdr:col>2</xdr:col>
                    <xdr:colOff>747713</xdr:colOff>
                    <xdr:row>18</xdr:row>
                    <xdr:rowOff>138113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DEC7FAE-C359-48BB-BD36-4B256A5A3B41}">
          <x14:formula1>
            <xm:f>OFFSET(Sheet2!$A$2,0,0,COUNTIF(Sheet2!$A$2:$A$100,"&lt;&gt;"))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9EF4D-BA5B-407F-9EB3-3DB0E7983E7B}">
  <sheetPr codeName="Sheet2"/>
  <dimension ref="A1:C5"/>
  <sheetViews>
    <sheetView topLeftCell="A2" workbookViewId="0">
      <selection activeCell="B4" sqref="B4"/>
    </sheetView>
  </sheetViews>
  <sheetFormatPr defaultRowHeight="14.25" x14ac:dyDescent="0.45"/>
  <cols>
    <col min="1" max="1" width="9.1328125" style="3"/>
    <col min="2" max="2" width="87.6640625" customWidth="1"/>
    <col min="3" max="3" width="47.86328125" style="3" customWidth="1"/>
  </cols>
  <sheetData>
    <row r="1" spans="1:3" x14ac:dyDescent="0.45">
      <c r="A1" s="2" t="s">
        <v>11</v>
      </c>
      <c r="B1" s="1" t="s">
        <v>12</v>
      </c>
      <c r="C1" s="2"/>
    </row>
    <row r="2" spans="1:3" ht="408.95" customHeight="1" x14ac:dyDescent="0.45">
      <c r="A2" s="3" t="s">
        <v>13</v>
      </c>
      <c r="C2" s="4"/>
    </row>
    <row r="3" spans="1:3" ht="408.95" customHeight="1" x14ac:dyDescent="0.45">
      <c r="A3" s="3" t="s">
        <v>3</v>
      </c>
      <c r="C3" s="4"/>
    </row>
    <row r="4" spans="1:3" ht="408.95" customHeight="1" x14ac:dyDescent="0.45">
      <c r="A4" s="3" t="s">
        <v>14</v>
      </c>
      <c r="C4" s="4"/>
    </row>
    <row r="5" spans="1:3" ht="408.95" customHeight="1" x14ac:dyDescent="0.45">
      <c r="C5" s="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29612-60C5-45E6-A95E-C0CB5EEB4873}">
  <sheetPr codeName="Sheet3"/>
  <dimension ref="A1:J17"/>
  <sheetViews>
    <sheetView workbookViewId="0">
      <selection activeCell="B2" sqref="B2"/>
    </sheetView>
  </sheetViews>
  <sheetFormatPr defaultRowHeight="14.25" x14ac:dyDescent="0.45"/>
  <cols>
    <col min="1" max="1" width="26.1328125" bestFit="1" customWidth="1"/>
    <col min="2" max="2" width="12.53125" bestFit="1" customWidth="1"/>
    <col min="7" max="7" width="43.53125" bestFit="1" customWidth="1"/>
    <col min="9" max="9" width="13.46484375" bestFit="1" customWidth="1"/>
    <col min="10" max="10" width="12.46484375" bestFit="1" customWidth="1"/>
  </cols>
  <sheetData>
    <row r="1" spans="1:10" ht="30" customHeight="1" x14ac:dyDescent="0.45">
      <c r="A1" s="1" t="s">
        <v>15</v>
      </c>
      <c r="B1" s="1" t="s">
        <v>16</v>
      </c>
      <c r="C1" t="s">
        <v>17</v>
      </c>
      <c r="F1" s="25"/>
      <c r="G1" s="25"/>
      <c r="H1" s="25"/>
      <c r="I1" s="25"/>
      <c r="J1" s="25"/>
    </row>
    <row r="2" spans="1:10" ht="60" customHeight="1" x14ac:dyDescent="0.45">
      <c r="A2" s="1" t="s">
        <v>18</v>
      </c>
      <c r="B2" s="9">
        <v>414320.82</v>
      </c>
      <c r="F2" s="10"/>
      <c r="G2" s="26"/>
      <c r="H2" s="10"/>
      <c r="I2" s="27"/>
      <c r="J2" s="27"/>
    </row>
    <row r="3" spans="1:10" ht="30" customHeight="1" x14ac:dyDescent="0.45">
      <c r="A3" s="1" t="str">
        <f>Sheet1!A4</f>
        <v>Spare Parts Package</v>
      </c>
      <c r="B3" s="9">
        <v>10069</v>
      </c>
      <c r="C3">
        <f>Sheet1!B4</f>
        <v>1</v>
      </c>
      <c r="F3" s="25"/>
      <c r="G3" s="25"/>
      <c r="H3" s="25"/>
      <c r="I3" s="25"/>
      <c r="J3" s="25"/>
    </row>
    <row r="4" spans="1:10" ht="30" customHeight="1" x14ac:dyDescent="0.45">
      <c r="A4" s="1" t="str">
        <f>Sheet1!A5</f>
        <v>Spare Saw Blades</v>
      </c>
      <c r="B4" s="9">
        <v>155</v>
      </c>
      <c r="C4">
        <f>Sheet1!B5</f>
        <v>20</v>
      </c>
      <c r="F4" s="10"/>
      <c r="G4" s="28"/>
      <c r="H4" s="10"/>
      <c r="I4" s="27"/>
      <c r="J4" s="27"/>
    </row>
    <row r="5" spans="1:10" ht="30" customHeight="1" x14ac:dyDescent="0.45">
      <c r="A5" s="1" t="str">
        <f>Sheet1!A6</f>
        <v>Spare Foam Pads</v>
      </c>
      <c r="B5" s="9">
        <v>224</v>
      </c>
      <c r="C5">
        <f>Sheet1!B6</f>
        <v>0</v>
      </c>
      <c r="F5" s="10"/>
      <c r="G5" s="28"/>
      <c r="H5" s="10"/>
      <c r="I5" s="27"/>
      <c r="J5" s="27"/>
    </row>
    <row r="6" spans="1:10" ht="30" customHeight="1" x14ac:dyDescent="0.45">
      <c r="A6" s="1" t="s">
        <v>19</v>
      </c>
      <c r="B6" s="9">
        <v>10672.24</v>
      </c>
      <c r="C6">
        <f>IF(Sheet1!B7="Tall",1,0)</f>
        <v>0</v>
      </c>
      <c r="F6" s="10"/>
      <c r="G6" s="28"/>
      <c r="H6" s="10"/>
      <c r="I6" s="27"/>
      <c r="J6" s="27"/>
    </row>
    <row r="7" spans="1:10" ht="30" customHeight="1" x14ac:dyDescent="0.45">
      <c r="A7" s="1" t="s">
        <v>20</v>
      </c>
      <c r="B7" s="9">
        <v>12067.8917</v>
      </c>
      <c r="C7">
        <f>IF(Sheet1!B7="Tall w/ Netting",1,0)</f>
        <v>0</v>
      </c>
      <c r="F7" s="29"/>
      <c r="G7" s="29"/>
      <c r="H7" s="29"/>
      <c r="I7" s="29"/>
      <c r="J7" s="27"/>
    </row>
    <row r="8" spans="1:10" ht="30" customHeight="1" x14ac:dyDescent="0.45">
      <c r="A8" s="1" t="s">
        <v>21</v>
      </c>
      <c r="B8" s="9">
        <v>3429.7073999999998</v>
      </c>
      <c r="C8">
        <f>IF(OR(Sheet1!B8="Front USL",Sheet1!B8="Front Badger"),1,0)</f>
        <v>0</v>
      </c>
      <c r="F8" s="30"/>
      <c r="G8" s="30"/>
      <c r="H8" s="30"/>
      <c r="I8" s="30"/>
      <c r="J8" s="31"/>
    </row>
    <row r="9" spans="1:10" x14ac:dyDescent="0.45">
      <c r="A9" s="1" t="s">
        <v>22</v>
      </c>
      <c r="B9" s="9">
        <v>5205.7466000000004</v>
      </c>
      <c r="C9">
        <f>IF(Sheet1!B8="Side USL",1,0)</f>
        <v>0</v>
      </c>
      <c r="F9" s="10"/>
      <c r="G9" s="10"/>
      <c r="H9" s="10"/>
      <c r="I9" s="10"/>
      <c r="J9" s="10"/>
    </row>
    <row r="10" spans="1:10" x14ac:dyDescent="0.45">
      <c r="A10" s="1" t="s">
        <v>23</v>
      </c>
      <c r="B10" s="9">
        <v>5205.7466000000004</v>
      </c>
      <c r="C10">
        <f>IF(Sheet1!B8="Side Badger",1,0)</f>
        <v>0</v>
      </c>
      <c r="F10" s="10"/>
      <c r="G10" s="10"/>
      <c r="H10" s="10"/>
      <c r="I10" s="10"/>
      <c r="J10" s="10"/>
    </row>
    <row r="11" spans="1:10" x14ac:dyDescent="0.45">
      <c r="A11" s="1" t="s">
        <v>24</v>
      </c>
      <c r="B11" s="9">
        <v>10651.258</v>
      </c>
      <c r="C11">
        <f>IF(Sheet1!B9="Canada",1,0)</f>
        <v>0</v>
      </c>
      <c r="F11" s="10"/>
      <c r="G11" s="10"/>
      <c r="H11" s="10"/>
      <c r="I11" s="10"/>
      <c r="J11" s="10"/>
    </row>
    <row r="12" spans="1:10" x14ac:dyDescent="0.45">
      <c r="A12" s="1" t="s">
        <v>25</v>
      </c>
      <c r="B12" s="9">
        <v>6401.4530000000004</v>
      </c>
      <c r="C12">
        <f>IF(Sheet1!B9="Step Up",1,0)</f>
        <v>0</v>
      </c>
      <c r="F12" s="10"/>
      <c r="G12" s="10"/>
      <c r="H12" s="10"/>
      <c r="I12" s="10"/>
      <c r="J12" s="10"/>
    </row>
    <row r="13" spans="1:10" x14ac:dyDescent="0.45">
      <c r="A13" s="1" t="s">
        <v>26</v>
      </c>
      <c r="B13" s="9">
        <v>0</v>
      </c>
      <c r="C13">
        <f>IF(Sheet1!B10="English &amp; Spanish",1,0)</f>
        <v>0</v>
      </c>
      <c r="F13" s="10"/>
      <c r="G13" s="10"/>
      <c r="H13" s="10"/>
      <c r="I13" s="10"/>
      <c r="J13" s="10"/>
    </row>
    <row r="14" spans="1:10" x14ac:dyDescent="0.45">
      <c r="F14" s="10"/>
      <c r="G14" s="10"/>
      <c r="H14" s="10"/>
      <c r="I14" s="10"/>
      <c r="J14" s="10"/>
    </row>
    <row r="15" spans="1:10" x14ac:dyDescent="0.45">
      <c r="F15" s="10"/>
      <c r="G15" s="10"/>
      <c r="H15" s="10"/>
      <c r="I15" s="10"/>
      <c r="J15" s="10"/>
    </row>
    <row r="16" spans="1:10" x14ac:dyDescent="0.45">
      <c r="F16" s="2"/>
      <c r="G16" s="2"/>
      <c r="H16" s="2"/>
      <c r="I16" s="2"/>
      <c r="J16" s="2"/>
    </row>
    <row r="17" spans="6:10" x14ac:dyDescent="0.45">
      <c r="F17" s="2"/>
      <c r="G17" s="2"/>
      <c r="H17" s="2"/>
      <c r="I17" s="2"/>
      <c r="J17" s="2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8D51591D8D6B848B007E338AD8B19A7" ma:contentTypeVersion="14" ma:contentTypeDescription="Create a new document." ma:contentTypeScope="" ma:versionID="d7cd4b6487856dfae46bd7c36dcf1c0f">
  <xsd:schema xmlns:xsd="http://www.w3.org/2001/XMLSchema" xmlns:xs="http://www.w3.org/2001/XMLSchema" xmlns:p="http://schemas.microsoft.com/office/2006/metadata/properties" xmlns:ns2="f95504be-12ab-4db5-aec2-a32ed8cba20e" xmlns:ns3="ec87ae3e-8201-418b-9187-36efc7536099" targetNamespace="http://schemas.microsoft.com/office/2006/metadata/properties" ma:root="true" ma:fieldsID="78d78d590651db18bf891f1db5056b06" ns2:_="" ns3:_="">
    <xsd:import namespace="f95504be-12ab-4db5-aec2-a32ed8cba20e"/>
    <xsd:import namespace="ec87ae3e-8201-418b-9187-36efc75360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_Flow_SignoffStatu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95504be-12ab-4db5-aec2-a32ed8cba2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Flow_SignoffStatus" ma:index="10" nillable="true" ma:displayName="Sign-off status" ma:internalName="Sign_x002d_off_x0020_status">
      <xsd:simpleType>
        <xsd:restriction base="dms:Text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333c266f-49c4-404a-a803-9b4dd44785d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c87ae3e-8201-418b-9187-36efc753609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e8a12f49-44bf-4893-9b45-6163c411ae24}" ma:internalName="TaxCatchAll" ma:showField="CatchAllData" ma:web="ec87ae3e-8201-418b-9187-36efc75360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Flow_SignoffStatus xmlns="f95504be-12ab-4db5-aec2-a32ed8cba20e" xsi:nil="true"/>
    <TaxCatchAll xmlns="ec87ae3e-8201-418b-9187-36efc7536099" xsi:nil="true"/>
    <lcf76f155ced4ddcb4097134ff3c332f xmlns="f95504be-12ab-4db5-aec2-a32ed8cba20e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DA1A2EC-8E34-417E-9E2F-B555A09FB4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95504be-12ab-4db5-aec2-a32ed8cba20e"/>
    <ds:schemaRef ds:uri="ec87ae3e-8201-418b-9187-36efc75360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718070E-DCA8-4F10-848F-D33254FE5CC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AF3F3E-DD3A-4659-88A3-4D81C3216209}">
  <ds:schemaRefs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metadata/properties"/>
    <ds:schemaRef ds:uri="http://purl.org/dc/elements/1.1/"/>
    <ds:schemaRef ds:uri="f95504be-12ab-4db5-aec2-a32ed8cba20e"/>
    <ds:schemaRef ds:uri="ec87ae3e-8201-418b-9187-36efc7536099"/>
    <ds:schemaRef ds:uri="http://purl.org/dc/dcmitype/"/>
    <ds:schemaRef ds:uri="http://schemas.microsoft.com/office/2006/documentManagement/typ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Craig Linnemeier</dc:creator>
  <cp:keywords/>
  <dc:description/>
  <cp:lastModifiedBy>Harley Colbert</cp:lastModifiedBy>
  <cp:revision/>
  <dcterms:created xsi:type="dcterms:W3CDTF">2023-05-01T15:13:20Z</dcterms:created>
  <dcterms:modified xsi:type="dcterms:W3CDTF">2025-09-23T13:53:24Z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0x01010018D51591D8D6B848B007E338AD8B19A7</vt:lpwstr>
  </property>
  <property fmtid="{D5CDD505-2E9C-101B-9397-08002B2CF9AE}" pid="3" name="MediaServiceImageTags">
    <vt:lpwstr/>
  </property>
</Properties>
</file>